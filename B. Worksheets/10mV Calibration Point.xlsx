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en\Proton Drive\My files\`Library\`Projects\Chemistry DAQ\B. Worksheets\"/>
    </mc:Choice>
  </mc:AlternateContent>
  <xr:revisionPtr revIDLastSave="0" documentId="13_ncr:1_{BE57C140-B138-4D81-AF33-776FA1997C92}" xr6:coauthVersionLast="47" xr6:coauthVersionMax="47" xr10:uidLastSave="{00000000-0000-0000-0000-000000000000}"/>
  <bookViews>
    <workbookView xWindow="-105" yWindow="0" windowWidth="17295" windowHeight="15585" xr2:uid="{C7EFF191-DED2-42DD-9C53-B292383A41B2}"/>
  </bookViews>
  <sheets>
    <sheet name="Sheet1" sheetId="1" r:id="rId1"/>
  </sheets>
  <definedNames>
    <definedName name="Vin">Sheet1!$C$5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9" i="1"/>
  <c r="L9" i="1" s="1"/>
  <c r="H11" i="1"/>
  <c r="I11" i="1" s="1"/>
  <c r="J11" i="1" s="1"/>
  <c r="H10" i="1"/>
  <c r="G10" i="1"/>
  <c r="L10" i="1"/>
  <c r="I8" i="1"/>
  <c r="J8" i="1" s="1"/>
  <c r="L7" i="1"/>
  <c r="L8" i="1"/>
  <c r="L6" i="1"/>
  <c r="K7" i="1"/>
  <c r="K8" i="1"/>
  <c r="K6" i="1"/>
  <c r="I7" i="1"/>
  <c r="J7" i="1" s="1"/>
  <c r="I10" i="1"/>
  <c r="J10" i="1" s="1"/>
  <c r="I6" i="1"/>
  <c r="J6" i="1" s="1"/>
  <c r="I9" i="1" l="1"/>
  <c r="J9" i="1" s="1"/>
  <c r="L11" i="1"/>
  <c r="K11" i="1"/>
  <c r="K10" i="1"/>
  <c r="K9" i="1"/>
</calcChain>
</file>

<file path=xl/sharedStrings.xml><?xml version="1.0" encoding="utf-8"?>
<sst xmlns="http://schemas.openxmlformats.org/spreadsheetml/2006/main" count="22" uniqueCount="20">
  <si>
    <t>R1+R2</t>
  </si>
  <si>
    <t>kΩ</t>
  </si>
  <si>
    <t>R1/R2</t>
  </si>
  <si>
    <t>Vout</t>
  </si>
  <si>
    <t>Vin</t>
  </si>
  <si>
    <t>Objectives</t>
  </si>
  <si>
    <t>i (mA)</t>
  </si>
  <si>
    <t>Note</t>
  </si>
  <si>
    <t>Constraints</t>
  </si>
  <si>
    <t>10mV Calibration Point - Choosing Resistors</t>
  </si>
  <si>
    <t>V</t>
  </si>
  <si>
    <t>Resistor Divider Options</t>
  </si>
  <si>
    <t>Throwing in something random…</t>
  </si>
  <si>
    <t>More resistance</t>
  </si>
  <si>
    <t>What resistors do I actually have…</t>
  </si>
  <si>
    <t>5kΩ adjustment pot turned all the way up...</t>
  </si>
  <si>
    <t>R1 (Ω)</t>
  </si>
  <si>
    <t>R2 (Ω)</t>
  </si>
  <si>
    <t>Pot adjusted down, including resistor errors…</t>
  </si>
  <si>
    <t>Pot adjusted up, includuding resistor errors…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</si>
</sst>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457199</xdr:colOff>
      <xdr:row>12</xdr:row>
      <xdr:rowOff>23811</xdr:rowOff>
    </xdr:from>
    <xdr:to>
      <xdr:col>7</xdr:col>
      <xdr:colOff>0</xdr:colOff>
      <xdr:row>19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FA0ED8-EAD4-ADEC-2212-E7E31CB4E9C7}"/>
            </a:ext>
          </a:extLst>
        </xdr:cNvPr>
        <xdr:cNvSpPr txBox="1"/>
      </xdr:nvSpPr>
      <xdr:spPr>
        <a:xfrm>
          <a:off x="1676399" y="2500311"/>
          <a:ext cx="5086351" cy="14906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Looking at the resistors and potentiometers I</a:t>
          </a:r>
          <a:r>
            <a:rPr lang="en-CA" sz="1100" baseline="0"/>
            <a:t> had on hand, I decided to go with a 50kΩ total resistance instead of a 10kΩ total resistance. That brought my wasted current down to about 1µA.</a:t>
          </a:r>
        </a:p>
        <a:p>
          <a:endParaRPr lang="en-CA" sz="1100" baseline="0"/>
        </a:p>
        <a:p>
          <a:r>
            <a:rPr lang="en-CA" sz="1100" baseline="0"/>
            <a:t>I could play with the numbers in the numbers in the table to confirm that 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based on the precision of resistors I had, I could always adjust to 10mV within the range of the 5kΩ potentiometer.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27B2-5DD1-4454-816F-0CC74D852E1C}">
  <dimension ref="B2:L11"/>
  <sheetViews>
    <sheetView tabSelected="1" workbookViewId="0">
      <selection activeCell="F25" sqref="F25"/>
    </sheetView>
  </sheetViews>
  <sheetFormatPr defaultRowHeight="15" x14ac:dyDescent="0.25"/>
  <cols>
    <col min="1" max="1" width="4.28515625" customWidth="1"/>
    <col min="6" max="6" width="46.5703125" customWidth="1"/>
  </cols>
  <sheetData>
    <row r="2" spans="2:12" x14ac:dyDescent="0.25">
      <c r="B2" s="1" t="s">
        <v>9</v>
      </c>
    </row>
    <row r="4" spans="2:12" x14ac:dyDescent="0.25">
      <c r="B4" s="1" t="s">
        <v>8</v>
      </c>
      <c r="F4" s="2" t="s">
        <v>11</v>
      </c>
      <c r="G4" s="2"/>
      <c r="H4" s="2"/>
      <c r="I4" s="2"/>
      <c r="J4" s="2"/>
      <c r="K4" s="2"/>
      <c r="L4" s="2"/>
    </row>
    <row r="5" spans="2:12" x14ac:dyDescent="0.25">
      <c r="B5" t="s">
        <v>4</v>
      </c>
      <c r="C5">
        <v>5</v>
      </c>
      <c r="D5" t="s">
        <v>10</v>
      </c>
      <c r="F5" s="1" t="s">
        <v>7</v>
      </c>
      <c r="G5" s="1" t="s">
        <v>16</v>
      </c>
      <c r="H5" s="1" t="s">
        <v>17</v>
      </c>
      <c r="I5" s="1" t="s">
        <v>6</v>
      </c>
      <c r="J5" s="1" t="s">
        <v>3</v>
      </c>
      <c r="K5" s="1" t="s">
        <v>0</v>
      </c>
      <c r="L5" s="1" t="s">
        <v>2</v>
      </c>
    </row>
    <row r="6" spans="2:12" x14ac:dyDescent="0.25">
      <c r="F6" t="s">
        <v>12</v>
      </c>
      <c r="G6">
        <v>4990</v>
      </c>
      <c r="H6">
        <v>10</v>
      </c>
      <c r="I6" s="3">
        <f>Vin/(H6+G6)*1000</f>
        <v>1</v>
      </c>
      <c r="J6" s="3">
        <f>I6*H6</f>
        <v>10</v>
      </c>
      <c r="K6" s="3">
        <f>G6+H6</f>
        <v>5000</v>
      </c>
      <c r="L6" s="3">
        <f>G6/H6</f>
        <v>499</v>
      </c>
    </row>
    <row r="7" spans="2:12" x14ac:dyDescent="0.25">
      <c r="B7" s="1" t="s">
        <v>5</v>
      </c>
      <c r="F7" t="s">
        <v>13</v>
      </c>
      <c r="G7">
        <v>50000</v>
      </c>
      <c r="H7">
        <v>100</v>
      </c>
      <c r="I7" s="3">
        <f>Vin/(H7+G7)*1000</f>
        <v>9.9800399201596807E-2</v>
      </c>
      <c r="J7" s="3">
        <f>I7*H7</f>
        <v>9.9800399201596814</v>
      </c>
      <c r="K7" s="3">
        <f t="shared" ref="K7:K11" si="0">G7+H7</f>
        <v>50100</v>
      </c>
      <c r="L7" s="3">
        <f t="shared" ref="L7:L11" si="1">G7/H7</f>
        <v>500</v>
      </c>
    </row>
    <row r="8" spans="2:12" x14ac:dyDescent="0.25">
      <c r="B8" t="s">
        <v>0</v>
      </c>
      <c r="C8">
        <v>10</v>
      </c>
      <c r="D8" t="s">
        <v>1</v>
      </c>
      <c r="F8" s="1" t="s">
        <v>14</v>
      </c>
      <c r="G8" s="1">
        <v>47000</v>
      </c>
      <c r="H8" s="1">
        <v>100</v>
      </c>
      <c r="I8" s="4">
        <f>Vin/(H8+G8)*1000</f>
        <v>0.10615711252653928</v>
      </c>
      <c r="J8" s="4">
        <f>I8*H8</f>
        <v>10.615711252653929</v>
      </c>
      <c r="K8" s="4">
        <f t="shared" si="0"/>
        <v>47100</v>
      </c>
      <c r="L8" s="4">
        <f t="shared" si="1"/>
        <v>470</v>
      </c>
    </row>
    <row r="9" spans="2:12" x14ac:dyDescent="0.25">
      <c r="B9" t="s">
        <v>2</v>
      </c>
      <c r="C9">
        <v>499</v>
      </c>
      <c r="F9" s="1" t="s">
        <v>15</v>
      </c>
      <c r="G9" s="1">
        <f>47000+5000</f>
        <v>52000</v>
      </c>
      <c r="H9" s="1">
        <v>100</v>
      </c>
      <c r="I9" s="4">
        <f>Vin/(H9+G9)*1000</f>
        <v>9.5969289827255277E-2</v>
      </c>
      <c r="J9" s="4">
        <f>I9*H9</f>
        <v>9.5969289827255277</v>
      </c>
      <c r="K9" s="4">
        <f t="shared" si="0"/>
        <v>52100</v>
      </c>
      <c r="L9" s="4">
        <f t="shared" si="1"/>
        <v>520</v>
      </c>
    </row>
    <row r="10" spans="2:12" x14ac:dyDescent="0.25">
      <c r="F10" s="5" t="s">
        <v>18</v>
      </c>
      <c r="G10">
        <f>G8*1.01</f>
        <v>47470</v>
      </c>
      <c r="H10">
        <f>H8*0.99</f>
        <v>99</v>
      </c>
      <c r="I10" s="3">
        <f>Vin/(H10+G10)*1000</f>
        <v>0.1051104711051315</v>
      </c>
      <c r="J10" s="3">
        <f>I10*H10</f>
        <v>10.405936639408019</v>
      </c>
      <c r="K10" s="3">
        <f t="shared" si="0"/>
        <v>47569</v>
      </c>
      <c r="L10" s="3">
        <f t="shared" si="1"/>
        <v>479.49494949494948</v>
      </c>
    </row>
    <row r="11" spans="2:12" x14ac:dyDescent="0.25">
      <c r="F11" s="5" t="s">
        <v>19</v>
      </c>
      <c r="G11">
        <f>47000*0.99+5000*0.95</f>
        <v>51280</v>
      </c>
      <c r="H11">
        <f>H9*1.01</f>
        <v>101</v>
      </c>
      <c r="I11" s="3">
        <f>Vin/(H11+G11)*1000</f>
        <v>9.7312236040559746E-2</v>
      </c>
      <c r="J11" s="3">
        <f>I11*H11</f>
        <v>9.828535840096535</v>
      </c>
      <c r="K11" s="3">
        <f t="shared" si="0"/>
        <v>51381</v>
      </c>
      <c r="L11" s="3">
        <f t="shared" si="1"/>
        <v>507.7227722772277</v>
      </c>
    </row>
  </sheetData>
  <mergeCells count="1">
    <mergeCell ref="F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Kaden.Burgart</dc:creator>
  <cp:lastModifiedBy>Kaden.Burgart</cp:lastModifiedBy>
  <dcterms:created xsi:type="dcterms:W3CDTF">2026-03-01T23:46:20Z</dcterms:created>
  <dcterms:modified xsi:type="dcterms:W3CDTF">2026-03-05T05:27:06Z</dcterms:modified>
</cp:coreProperties>
</file>