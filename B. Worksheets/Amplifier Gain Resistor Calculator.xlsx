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en\Proton Drive\My files\`Library\`Projects\Chemistry DAQ\B. Worksheets\"/>
    </mc:Choice>
  </mc:AlternateContent>
  <xr:revisionPtr revIDLastSave="0" documentId="13_ncr:1_{14F04910-CEA8-4136-BE5D-FF4EC35181EE}" xr6:coauthVersionLast="47" xr6:coauthVersionMax="47" xr10:uidLastSave="{00000000-0000-0000-0000-000000000000}"/>
  <bookViews>
    <workbookView xWindow="13170" yWindow="0" windowWidth="15735" windowHeight="15585" xr2:uid="{3416CEB1-77D2-45CB-879C-37483C2EA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E55" i="1" s="1"/>
  <c r="D56" i="1"/>
  <c r="E56" i="1" s="1"/>
  <c r="D57" i="1"/>
  <c r="D58" i="1"/>
  <c r="D59" i="1"/>
  <c r="D60" i="1"/>
  <c r="D61" i="1"/>
  <c r="D62" i="1"/>
  <c r="E62" i="1" s="1"/>
  <c r="D63" i="1"/>
  <c r="E63" i="1" s="1"/>
  <c r="D64" i="1"/>
  <c r="E64" i="1" s="1"/>
  <c r="D54" i="1"/>
  <c r="C55" i="1"/>
  <c r="C56" i="1"/>
  <c r="C57" i="1"/>
  <c r="C58" i="1"/>
  <c r="C59" i="1"/>
  <c r="C60" i="1"/>
  <c r="C61" i="1"/>
  <c r="E61" i="1" s="1"/>
  <c r="C62" i="1"/>
  <c r="C63" i="1"/>
  <c r="C64" i="1"/>
  <c r="C54" i="1"/>
  <c r="F41" i="1"/>
  <c r="I41" i="1" s="1"/>
  <c r="J41" i="1" s="1"/>
  <c r="F40" i="1"/>
  <c r="I40" i="1" s="1"/>
  <c r="J40" i="1" s="1"/>
  <c r="F43" i="1"/>
  <c r="G43" i="1"/>
  <c r="I42" i="1"/>
  <c r="J42" i="1" s="1"/>
  <c r="F28" i="1"/>
  <c r="C17" i="1"/>
  <c r="C18" i="1"/>
  <c r="C19" i="1"/>
  <c r="C8" i="1"/>
  <c r="C9" i="1"/>
  <c r="C10" i="1"/>
  <c r="C11" i="1"/>
  <c r="C12" i="1"/>
  <c r="C13" i="1"/>
  <c r="C14" i="1"/>
  <c r="C15" i="1"/>
  <c r="C16" i="1"/>
  <c r="C7" i="1"/>
  <c r="G33" i="1"/>
  <c r="G32" i="1"/>
  <c r="G31" i="1"/>
  <c r="G30" i="1"/>
  <c r="G29" i="1"/>
  <c r="G28" i="1"/>
  <c r="G27" i="1"/>
  <c r="G26" i="1"/>
  <c r="G25" i="1"/>
  <c r="G24" i="1"/>
  <c r="E59" i="1" l="1"/>
  <c r="E60" i="1"/>
  <c r="E58" i="1"/>
  <c r="E57" i="1"/>
  <c r="E54" i="1"/>
  <c r="I43" i="1"/>
  <c r="J43" i="1" s="1"/>
</calcChain>
</file>

<file path=xl/sharedStrings.xml><?xml version="1.0" encoding="utf-8"?>
<sst xmlns="http://schemas.openxmlformats.org/spreadsheetml/2006/main" count="32" uniqueCount="28">
  <si>
    <t>AD620 Instrumentation Amplifier</t>
  </si>
  <si>
    <t>Gain Resistor Calculator</t>
  </si>
  <si>
    <t>Rg</t>
  </si>
  <si>
    <t>Gain</t>
  </si>
  <si>
    <t>Rg (Ω)</t>
  </si>
  <si>
    <t>Step 1: Calculate Resistance from Gain</t>
  </si>
  <si>
    <t>Step 2: Calculate Gain from Resistance</t>
  </si>
  <si>
    <t>Note</t>
  </si>
  <si>
    <t>What is the default minimum gain using the factory potentiometer?</t>
  </si>
  <si>
    <t>What is the mid-range gain using the factory potentiometer?</t>
  </si>
  <si>
    <t>What is the upper end of the factory pot's gain before things get dodgy?</t>
  </si>
  <si>
    <t>What is the upper end of the factory pot's gain before things get REALLY dodgy?</t>
  </si>
  <si>
    <t>Looking at my resistors… I have a 180Ω and a 22Ω…</t>
  </si>
  <si>
    <t>If I add a 100Ω adjustment pot…</t>
  </si>
  <si>
    <t>Ra</t>
  </si>
  <si>
    <t>Rb</t>
  </si>
  <si>
    <t>Rc</t>
  </si>
  <si>
    <t>% on</t>
  </si>
  <si>
    <t>Total potentiometer resistance</t>
  </si>
  <si>
    <t>Ω</t>
  </si>
  <si>
    <t>Fixed parallel resistor</t>
  </si>
  <si>
    <t>Pot resistance (Ω)</t>
  </si>
  <si>
    <t>Parallel resistance (Ω)</t>
  </si>
  <si>
    <t>Pot in parallel with resistor</t>
  </si>
  <si>
    <t>My 180Ω and 22Ω resistors in series with the 100Ω pot (turned up) and a parallel 100Ω resistor</t>
  </si>
  <si>
    <t>Turning the pot all the way down…</t>
  </si>
  <si>
    <t>Putting the pot in parallel with a 68Ω resistor and using a 220Ω series resistor…</t>
  </si>
  <si>
    <t>Pot with parallel resistor: nonlinearity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</si>
</sst>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2" borderId="0" xfId="0" applyNumberFormat="1" applyFill="1"/>
    <xf numFmtId="2" fontId="0" fillId="2" borderId="0" xfId="0" applyNumberFormat="1" applyFill="1"/>
    <xf numFmtId="2" fontId="0" fillId="2" borderId="0" xfId="0" applyNumberFormat="1" applyFill="1" applyAlignment="1">
      <alignment horizontal="right"/>
    </xf>
    <xf numFmtId="2" fontId="1" fillId="2" borderId="0" xfId="0" applyNumberFormat="1" applyFont="1" applyFill="1"/>
    <xf numFmtId="2" fontId="1" fillId="2" borderId="0" xfId="0" applyNumberFormat="1" applyFont="1" applyFill="1" applyAlignment="1">
      <alignment horizontal="right"/>
    </xf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1" xfId="0" applyBorder="1"/>
    <xf numFmtId="164" fontId="0" fillId="2" borderId="1" xfId="0" applyNumberFormat="1" applyFill="1" applyBorder="1"/>
    <xf numFmtId="2" fontId="0" fillId="2" borderId="1" xfId="0" applyNumberFormat="1" applyFill="1" applyBorder="1" applyAlignment="1">
      <alignment horizontal="right"/>
    </xf>
    <xf numFmtId="0" fontId="0" fillId="3" borderId="0" xfId="0" applyFill="1"/>
    <xf numFmtId="164" fontId="0" fillId="0" borderId="0" xfId="0" applyNumberFormat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Sheet1!$B$54:$B$64</c:f>
              <c:numCache>
                <c:formatCode>General</c:formatCode>
                <c:ptCount val="11"/>
                <c:pt idx="0">
                  <c:v>0.01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Sheet1!$E$54:$E$64</c:f>
              <c:numCache>
                <c:formatCode>0.0</c:formatCode>
                <c:ptCount val="11"/>
                <c:pt idx="0">
                  <c:v>9.9985296279958835E-3</c:v>
                </c:pt>
                <c:pt idx="1">
                  <c:v>8.7179487179487172</c:v>
                </c:pt>
                <c:pt idx="2">
                  <c:v>15.454545454545453</c:v>
                </c:pt>
                <c:pt idx="3">
                  <c:v>20.816326530612248</c:v>
                </c:pt>
                <c:pt idx="4">
                  <c:v>25.185185185185187</c:v>
                </c:pt>
                <c:pt idx="5">
                  <c:v>28.8135593220339</c:v>
                </c:pt>
                <c:pt idx="6">
                  <c:v>31.875</c:v>
                </c:pt>
                <c:pt idx="7">
                  <c:v>34.492753623188406</c:v>
                </c:pt>
                <c:pt idx="8">
                  <c:v>36.756756756756758</c:v>
                </c:pt>
                <c:pt idx="9">
                  <c:v>38.734177215189874</c:v>
                </c:pt>
                <c:pt idx="10">
                  <c:v>40.476190476190482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C-4E72-8D89-E8892A386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48512"/>
        <c:axId val="514749472"/>
      </c:scatterChart>
      <c:valAx>
        <c:axId val="5147485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9472"/>
        <c:crosses val="autoZero"/>
        <c:crossBetween val="midCat"/>
      </c:valAx>
      <c:valAx>
        <c:axId val="51474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161926</xdr:colOff>
      <xdr:row>7</xdr:row>
      <xdr:rowOff>142874</xdr:rowOff>
    </xdr:from>
    <xdr:to>
      <xdr:col>6</xdr:col>
      <xdr:colOff>438150</xdr:colOff>
      <xdr:row>12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0F4040-DE44-40E5-B2B8-48AFAB24586D}"/>
            </a:ext>
          </a:extLst>
        </xdr:cNvPr>
        <xdr:cNvSpPr txBox="1"/>
      </xdr:nvSpPr>
      <xdr:spPr>
        <a:xfrm>
          <a:off x="1990726" y="1476374"/>
          <a:ext cx="2105024" cy="876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To take a 0mV - 10mV signal and convert it to a 1.5V - 3.5V signal, we need a gain of 200x.</a:t>
          </a:r>
        </a:p>
      </xdr:txBody>
    </xdr:sp>
    <xdr:clientData/>
  </xdr:twoCellAnchor>
  <xdr:twoCellAnchor>
    <xdr:from>
      <xdr:col>1</xdr:col>
      <xdr:colOff>152401</xdr:colOff>
      <xdr:row>29</xdr:row>
      <xdr:rowOff>114301</xdr:rowOff>
    </xdr:from>
    <xdr:to>
      <xdr:col>4</xdr:col>
      <xdr:colOff>3390900</xdr:colOff>
      <xdr:row>33</xdr:row>
      <xdr:rowOff>19051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6B8D7A-DB10-4583-B1F6-F4FF792D997A}"/>
            </a:ext>
          </a:extLst>
        </xdr:cNvPr>
        <xdr:cNvSpPr txBox="1"/>
      </xdr:nvSpPr>
      <xdr:spPr>
        <a:xfrm>
          <a:off x="762001" y="5638801"/>
          <a:ext cx="5067299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I first find some fixed resistors that will give me a resistance that's too small, then</a:t>
          </a:r>
          <a:r>
            <a:rPr lang="en-CA" sz="1100" baseline="0"/>
            <a:t> I add a potentiometer that will make the resistance too big when turned up.</a:t>
          </a:r>
        </a:p>
        <a:p>
          <a:r>
            <a:rPr lang="en-CA" sz="1100" baseline="0"/>
            <a:t>I would have loved to use a smaller potentiometer, but this was the only one I had.</a:t>
          </a:r>
          <a:endParaRPr lang="en-CA" sz="1100"/>
        </a:p>
      </xdr:txBody>
    </xdr:sp>
    <xdr:clientData/>
  </xdr:twoCellAnchor>
  <xdr:twoCellAnchor>
    <xdr:from>
      <xdr:col>4</xdr:col>
      <xdr:colOff>1009650</xdr:colOff>
      <xdr:row>54</xdr:row>
      <xdr:rowOff>28575</xdr:rowOff>
    </xdr:from>
    <xdr:to>
      <xdr:col>5</xdr:col>
      <xdr:colOff>571500</xdr:colOff>
      <xdr:row>64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42D45E-BEA2-F38F-2467-DDA2506D7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495301</xdr:colOff>
      <xdr:row>33</xdr:row>
      <xdr:rowOff>180975</xdr:rowOff>
    </xdr:from>
    <xdr:to>
      <xdr:col>4</xdr:col>
      <xdr:colOff>3648075</xdr:colOff>
      <xdr:row>39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F798DF-8C23-4AF3-BD53-BE6285D426E1}"/>
            </a:ext>
          </a:extLst>
        </xdr:cNvPr>
        <xdr:cNvSpPr txBox="1"/>
      </xdr:nvSpPr>
      <xdr:spPr>
        <a:xfrm>
          <a:off x="2324101" y="6467475"/>
          <a:ext cx="3762374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I could have</a:t>
          </a:r>
          <a:r>
            <a:rPr lang="en-CA" sz="1100"/>
            <a:t> placed</a:t>
          </a:r>
          <a:r>
            <a:rPr lang="en-CA" sz="1100" baseline="0"/>
            <a:t> a resistor in parallel with the 100Ω potentiometer to effectively 'shrink' the pot's total resistance for more fine control of the gain around the 200x point.</a:t>
          </a:r>
        </a:p>
        <a:p>
          <a:r>
            <a:rPr lang="en-CA" sz="1100" baseline="0"/>
            <a:t>This shows me using a potentiometer Rc in parallel with a resistor Rb, then all that in series with a resistor Ra.</a:t>
          </a:r>
          <a:endParaRPr lang="en-CA" sz="1100"/>
        </a:p>
      </xdr:txBody>
    </xdr:sp>
    <xdr:clientData/>
  </xdr:twoCellAnchor>
  <xdr:twoCellAnchor>
    <xdr:from>
      <xdr:col>4</xdr:col>
      <xdr:colOff>76201</xdr:colOff>
      <xdr:row>46</xdr:row>
      <xdr:rowOff>180975</xdr:rowOff>
    </xdr:from>
    <xdr:to>
      <xdr:col>5</xdr:col>
      <xdr:colOff>38100</xdr:colOff>
      <xdr:row>51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D3E852-B2E6-427D-89ED-2BA7446820BE}"/>
            </a:ext>
          </a:extLst>
        </xdr:cNvPr>
        <xdr:cNvSpPr txBox="1"/>
      </xdr:nvSpPr>
      <xdr:spPr>
        <a:xfrm>
          <a:off x="2514601" y="8943975"/>
          <a:ext cx="3762374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0"/>
            <a:t>One reason why I might not want to put a resistor in parallel with</a:t>
          </a:r>
          <a:r>
            <a:rPr lang="en-CA" sz="1100" b="0" baseline="0"/>
            <a:t> the potentiometer is because it makes the potentiometer behave nonlinearly. Looks like it isn't all that bad with 68Ω though. Might be a good idea to try this next time I need a smaller swing...</a:t>
          </a:r>
          <a:endParaRPr lang="en-CA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97EA-A327-4807-BF8C-F8E7D4D7302A}">
  <dimension ref="B2:J64"/>
  <sheetViews>
    <sheetView tabSelected="1" topLeftCell="A34" workbookViewId="0">
      <selection activeCell="H53" sqref="H53"/>
    </sheetView>
  </sheetViews>
  <sheetFormatPr defaultRowHeight="15" x14ac:dyDescent="0.25"/>
  <cols>
    <col min="5" max="5" width="57" customWidth="1"/>
    <col min="9" max="9" width="10.140625" customWidth="1"/>
  </cols>
  <sheetData>
    <row r="2" spans="2:3" x14ac:dyDescent="0.25">
      <c r="B2" s="1" t="s">
        <v>0</v>
      </c>
    </row>
    <row r="3" spans="2:3" x14ac:dyDescent="0.25">
      <c r="B3" s="1" t="s">
        <v>1</v>
      </c>
    </row>
    <row r="5" spans="2:3" x14ac:dyDescent="0.25">
      <c r="B5" s="1" t="s">
        <v>5</v>
      </c>
    </row>
    <row r="6" spans="2:3" x14ac:dyDescent="0.25">
      <c r="B6" s="1" t="s">
        <v>3</v>
      </c>
      <c r="C6" s="1" t="s">
        <v>4</v>
      </c>
    </row>
    <row r="7" spans="2:3" x14ac:dyDescent="0.25">
      <c r="B7">
        <v>2</v>
      </c>
      <c r="C7" s="3">
        <f>49400/(B7-1)</f>
        <v>49400</v>
      </c>
    </row>
    <row r="8" spans="2:3" x14ac:dyDescent="0.25">
      <c r="B8">
        <v>5</v>
      </c>
      <c r="C8" s="3">
        <f t="shared" ref="C8:C19" si="0">49400/(B8-1)</f>
        <v>12350</v>
      </c>
    </row>
    <row r="9" spans="2:3" x14ac:dyDescent="0.25">
      <c r="B9">
        <v>10</v>
      </c>
      <c r="C9" s="3">
        <f t="shared" si="0"/>
        <v>5488.8888888888887</v>
      </c>
    </row>
    <row r="10" spans="2:3" x14ac:dyDescent="0.25">
      <c r="B10">
        <v>50</v>
      </c>
      <c r="C10" s="3">
        <f t="shared" si="0"/>
        <v>1008.1632653061224</v>
      </c>
    </row>
    <row r="11" spans="2:3" x14ac:dyDescent="0.25">
      <c r="B11">
        <v>100</v>
      </c>
      <c r="C11" s="3">
        <f t="shared" si="0"/>
        <v>498.98989898989902</v>
      </c>
    </row>
    <row r="12" spans="2:3" x14ac:dyDescent="0.25">
      <c r="B12" s="1">
        <v>200</v>
      </c>
      <c r="C12" s="5">
        <f t="shared" si="0"/>
        <v>248.24120603015075</v>
      </c>
    </row>
    <row r="13" spans="2:3" x14ac:dyDescent="0.25">
      <c r="B13">
        <v>500</v>
      </c>
      <c r="C13" s="3">
        <f t="shared" si="0"/>
        <v>98.99799599198397</v>
      </c>
    </row>
    <row r="14" spans="2:3" x14ac:dyDescent="0.25">
      <c r="B14">
        <v>1000</v>
      </c>
      <c r="C14" s="3">
        <f t="shared" si="0"/>
        <v>49.449449449449446</v>
      </c>
    </row>
    <row r="15" spans="2:3" x14ac:dyDescent="0.25">
      <c r="B15">
        <v>2000</v>
      </c>
      <c r="C15" s="3">
        <f t="shared" si="0"/>
        <v>24.712356178089045</v>
      </c>
    </row>
    <row r="16" spans="2:3" x14ac:dyDescent="0.25">
      <c r="B16">
        <v>5000</v>
      </c>
      <c r="C16" s="3">
        <f t="shared" si="0"/>
        <v>9.8819763952790556</v>
      </c>
    </row>
    <row r="17" spans="2:7" x14ac:dyDescent="0.25">
      <c r="C17" s="3">
        <f>49400/(B17-1)</f>
        <v>-49400</v>
      </c>
    </row>
    <row r="18" spans="2:7" x14ac:dyDescent="0.25">
      <c r="C18" s="3">
        <f t="shared" si="0"/>
        <v>-49400</v>
      </c>
    </row>
    <row r="19" spans="2:7" x14ac:dyDescent="0.25">
      <c r="C19" s="3">
        <f t="shared" si="0"/>
        <v>-49400</v>
      </c>
    </row>
    <row r="22" spans="2:7" x14ac:dyDescent="0.25">
      <c r="B22" s="1" t="s">
        <v>6</v>
      </c>
    </row>
    <row r="23" spans="2:7" x14ac:dyDescent="0.25">
      <c r="B23" s="8" t="s">
        <v>7</v>
      </c>
      <c r="C23" s="8"/>
      <c r="D23" s="8"/>
      <c r="E23" s="8"/>
      <c r="F23" s="1" t="s">
        <v>4</v>
      </c>
      <c r="G23" s="1" t="s">
        <v>3</v>
      </c>
    </row>
    <row r="24" spans="2:7" x14ac:dyDescent="0.25">
      <c r="B24" s="7" t="s">
        <v>8</v>
      </c>
      <c r="C24" s="7"/>
      <c r="D24" s="7"/>
      <c r="E24" s="7"/>
      <c r="F24">
        <v>10000</v>
      </c>
      <c r="G24" s="4">
        <f>49400/F24+1</f>
        <v>5.94</v>
      </c>
    </row>
    <row r="25" spans="2:7" x14ac:dyDescent="0.25">
      <c r="B25" s="7" t="s">
        <v>9</v>
      </c>
      <c r="C25" s="7"/>
      <c r="D25" s="7"/>
      <c r="E25" s="7"/>
      <c r="F25">
        <v>5000</v>
      </c>
      <c r="G25" s="4">
        <f>49400/F25+1</f>
        <v>10.88</v>
      </c>
    </row>
    <row r="26" spans="2:7" x14ac:dyDescent="0.25">
      <c r="B26" s="7" t="s">
        <v>10</v>
      </c>
      <c r="C26" s="7"/>
      <c r="D26" s="7"/>
      <c r="E26" s="7"/>
      <c r="F26">
        <v>1000</v>
      </c>
      <c r="G26" s="4">
        <f>49400/F26+1</f>
        <v>50.4</v>
      </c>
    </row>
    <row r="27" spans="2:7" x14ac:dyDescent="0.25">
      <c r="B27" s="7" t="s">
        <v>11</v>
      </c>
      <c r="C27" s="7"/>
      <c r="D27" s="7"/>
      <c r="E27" s="7"/>
      <c r="F27">
        <v>500</v>
      </c>
      <c r="G27" s="4">
        <f>49400/F27+1</f>
        <v>99.8</v>
      </c>
    </row>
    <row r="28" spans="2:7" x14ac:dyDescent="0.25">
      <c r="B28" s="9" t="s">
        <v>12</v>
      </c>
      <c r="C28" s="9"/>
      <c r="D28" s="9"/>
      <c r="E28" s="9"/>
      <c r="F28">
        <f>180+22</f>
        <v>202</v>
      </c>
      <c r="G28" s="4">
        <f>49400/F28+1</f>
        <v>245.55445544554456</v>
      </c>
    </row>
    <row r="29" spans="2:7" x14ac:dyDescent="0.25">
      <c r="B29" s="9" t="s">
        <v>13</v>
      </c>
      <c r="C29" s="9"/>
      <c r="D29" s="9"/>
      <c r="E29" s="9"/>
      <c r="F29" s="1">
        <v>302</v>
      </c>
      <c r="G29" s="6">
        <f>49400/F29+1</f>
        <v>164.57615894039736</v>
      </c>
    </row>
    <row r="30" spans="2:7" x14ac:dyDescent="0.25">
      <c r="B30" s="7"/>
      <c r="C30" s="7"/>
      <c r="D30" s="7"/>
      <c r="E30" s="7"/>
      <c r="G30" s="4" t="e">
        <f>49400/F30+1</f>
        <v>#DIV/0!</v>
      </c>
    </row>
    <row r="31" spans="2:7" x14ac:dyDescent="0.25">
      <c r="B31" s="7"/>
      <c r="C31" s="7"/>
      <c r="D31" s="7"/>
      <c r="E31" s="7"/>
      <c r="G31" s="4" t="e">
        <f>49400/F31+1</f>
        <v>#DIV/0!</v>
      </c>
    </row>
    <row r="32" spans="2:7" x14ac:dyDescent="0.25">
      <c r="B32" s="7"/>
      <c r="C32" s="7"/>
      <c r="D32" s="7"/>
      <c r="E32" s="7"/>
      <c r="G32" s="4" t="e">
        <f>49400/F32+1</f>
        <v>#DIV/0!</v>
      </c>
    </row>
    <row r="33" spans="2:10" x14ac:dyDescent="0.25">
      <c r="B33" s="7"/>
      <c r="C33" s="7"/>
      <c r="D33" s="7"/>
      <c r="E33" s="7"/>
      <c r="G33" s="4" t="e">
        <f>49400/F33+1</f>
        <v>#DIV/0!</v>
      </c>
    </row>
    <row r="38" spans="2:10" x14ac:dyDescent="0.25">
      <c r="B38" s="1" t="s">
        <v>23</v>
      </c>
    </row>
    <row r="39" spans="2:10" x14ac:dyDescent="0.25">
      <c r="B39" s="1" t="s">
        <v>7</v>
      </c>
      <c r="C39" s="1"/>
      <c r="D39" s="1"/>
      <c r="E39" s="1"/>
      <c r="F39" s="15" t="s">
        <v>14</v>
      </c>
      <c r="G39" s="15" t="s">
        <v>15</v>
      </c>
      <c r="H39" s="15" t="s">
        <v>16</v>
      </c>
      <c r="I39" s="15" t="s">
        <v>2</v>
      </c>
      <c r="J39" s="15" t="s">
        <v>3</v>
      </c>
    </row>
    <row r="40" spans="2:10" x14ac:dyDescent="0.25">
      <c r="B40" s="7" t="s">
        <v>24</v>
      </c>
      <c r="C40" s="7"/>
      <c r="D40" s="7"/>
      <c r="E40" s="7"/>
      <c r="F40">
        <f>180+22</f>
        <v>202</v>
      </c>
      <c r="G40">
        <v>100</v>
      </c>
      <c r="H40">
        <v>100</v>
      </c>
      <c r="I40" s="2">
        <f>1/(1/G40+1/H40)+F40</f>
        <v>252</v>
      </c>
      <c r="J40" s="4">
        <f>49400/I40+1</f>
        <v>197.03174603174602</v>
      </c>
    </row>
    <row r="41" spans="2:10" x14ac:dyDescent="0.25">
      <c r="B41" s="7" t="s">
        <v>25</v>
      </c>
      <c r="C41" s="7"/>
      <c r="D41" s="7"/>
      <c r="E41" s="7"/>
      <c r="F41">
        <f>180+22</f>
        <v>202</v>
      </c>
      <c r="G41" s="10">
        <v>100</v>
      </c>
      <c r="H41" s="10">
        <v>1</v>
      </c>
      <c r="I41" s="11">
        <f>1/(1/G41+1/H41)+F41</f>
        <v>202.990099009901</v>
      </c>
      <c r="J41" s="12">
        <f>49400/I41+1</f>
        <v>244.36162325626768</v>
      </c>
    </row>
    <row r="42" spans="2:10" x14ac:dyDescent="0.25">
      <c r="B42" s="7" t="s">
        <v>26</v>
      </c>
      <c r="C42" s="7"/>
      <c r="D42" s="7"/>
      <c r="E42" s="7"/>
      <c r="F42" s="13">
        <v>220</v>
      </c>
      <c r="G42" s="13">
        <v>68</v>
      </c>
      <c r="H42">
        <v>100</v>
      </c>
      <c r="I42" s="2">
        <f>1/(1/G42+1/H42)+F42</f>
        <v>260.47619047619048</v>
      </c>
      <c r="J42" s="4">
        <f>49400/I42+1</f>
        <v>190.6526508226691</v>
      </c>
    </row>
    <row r="43" spans="2:10" x14ac:dyDescent="0.25">
      <c r="B43" s="7"/>
      <c r="C43" s="7"/>
      <c r="D43" s="7"/>
      <c r="E43" s="7"/>
      <c r="F43">
        <f>F42</f>
        <v>220</v>
      </c>
      <c r="G43">
        <f>G42</f>
        <v>68</v>
      </c>
      <c r="H43">
        <v>1</v>
      </c>
      <c r="I43" s="2">
        <f>1/(1/G43+1/H43)+F43</f>
        <v>220.98550724637681</v>
      </c>
      <c r="J43" s="4">
        <f>49400/I43+1</f>
        <v>224.54407135362015</v>
      </c>
    </row>
    <row r="46" spans="2:10" x14ac:dyDescent="0.25">
      <c r="B46" s="1" t="s">
        <v>27</v>
      </c>
    </row>
    <row r="48" spans="2:10" x14ac:dyDescent="0.25">
      <c r="B48" t="s">
        <v>18</v>
      </c>
    </row>
    <row r="49" spans="2:5" x14ac:dyDescent="0.25">
      <c r="B49">
        <v>100</v>
      </c>
    </row>
    <row r="50" spans="2:5" x14ac:dyDescent="0.25">
      <c r="B50" t="s">
        <v>20</v>
      </c>
    </row>
    <row r="51" spans="2:5" x14ac:dyDescent="0.25">
      <c r="B51">
        <v>68</v>
      </c>
      <c r="C51" t="s">
        <v>19</v>
      </c>
    </row>
    <row r="53" spans="2:5" x14ac:dyDescent="0.25">
      <c r="B53" t="s">
        <v>17</v>
      </c>
      <c r="C53" t="s">
        <v>21</v>
      </c>
      <c r="E53" t="s">
        <v>22</v>
      </c>
    </row>
    <row r="54" spans="2:5" x14ac:dyDescent="0.25">
      <c r="B54">
        <v>0.01</v>
      </c>
      <c r="C54">
        <f>B54/100*$B$49</f>
        <v>0.01</v>
      </c>
      <c r="D54">
        <f>$B$51</f>
        <v>68</v>
      </c>
      <c r="E54" s="14">
        <f>1/(1/C54+1/D54)</f>
        <v>9.9985296279958835E-3</v>
      </c>
    </row>
    <row r="55" spans="2:5" x14ac:dyDescent="0.25">
      <c r="B55">
        <v>10</v>
      </c>
      <c r="C55">
        <f>B55/100*$B$49</f>
        <v>10</v>
      </c>
      <c r="D55">
        <f>$B$51</f>
        <v>68</v>
      </c>
      <c r="E55" s="14">
        <f t="shared" ref="E55:E64" si="1">1/(1/C55+1/D55)</f>
        <v>8.7179487179487172</v>
      </c>
    </row>
    <row r="56" spans="2:5" x14ac:dyDescent="0.25">
      <c r="B56">
        <v>20</v>
      </c>
      <c r="C56">
        <f>B56/100*$B$49</f>
        <v>20</v>
      </c>
      <c r="D56">
        <f>$B$51</f>
        <v>68</v>
      </c>
      <c r="E56" s="14">
        <f t="shared" si="1"/>
        <v>15.454545454545453</v>
      </c>
    </row>
    <row r="57" spans="2:5" x14ac:dyDescent="0.25">
      <c r="B57">
        <v>30</v>
      </c>
      <c r="C57">
        <f>B57/100*$B$49</f>
        <v>30</v>
      </c>
      <c r="D57">
        <f>$B$51</f>
        <v>68</v>
      </c>
      <c r="E57" s="14">
        <f t="shared" si="1"/>
        <v>20.816326530612248</v>
      </c>
    </row>
    <row r="58" spans="2:5" x14ac:dyDescent="0.25">
      <c r="B58">
        <v>40</v>
      </c>
      <c r="C58">
        <f>B58/100*$B$49</f>
        <v>40</v>
      </c>
      <c r="D58">
        <f>$B$51</f>
        <v>68</v>
      </c>
      <c r="E58" s="14">
        <f t="shared" si="1"/>
        <v>25.185185185185187</v>
      </c>
    </row>
    <row r="59" spans="2:5" x14ac:dyDescent="0.25">
      <c r="B59">
        <v>50</v>
      </c>
      <c r="C59">
        <f>B59/100*$B$49</f>
        <v>50</v>
      </c>
      <c r="D59">
        <f>$B$51</f>
        <v>68</v>
      </c>
      <c r="E59" s="14">
        <f t="shared" si="1"/>
        <v>28.8135593220339</v>
      </c>
    </row>
    <row r="60" spans="2:5" x14ac:dyDescent="0.25">
      <c r="B60">
        <v>60</v>
      </c>
      <c r="C60">
        <f>B60/100*$B$49</f>
        <v>60</v>
      </c>
      <c r="D60">
        <f>$B$51</f>
        <v>68</v>
      </c>
      <c r="E60" s="14">
        <f t="shared" si="1"/>
        <v>31.875</v>
      </c>
    </row>
    <row r="61" spans="2:5" x14ac:dyDescent="0.25">
      <c r="B61">
        <v>70</v>
      </c>
      <c r="C61">
        <f>B61/100*$B$49</f>
        <v>70</v>
      </c>
      <c r="D61">
        <f>$B$51</f>
        <v>68</v>
      </c>
      <c r="E61" s="14">
        <f t="shared" si="1"/>
        <v>34.492753623188406</v>
      </c>
    </row>
    <row r="62" spans="2:5" x14ac:dyDescent="0.25">
      <c r="B62">
        <v>80</v>
      </c>
      <c r="C62">
        <f>B62/100*$B$49</f>
        <v>80</v>
      </c>
      <c r="D62">
        <f>$B$51</f>
        <v>68</v>
      </c>
      <c r="E62" s="14">
        <f t="shared" si="1"/>
        <v>36.756756756756758</v>
      </c>
    </row>
    <row r="63" spans="2:5" x14ac:dyDescent="0.25">
      <c r="B63">
        <v>90</v>
      </c>
      <c r="C63">
        <f>B63/100*$B$49</f>
        <v>90</v>
      </c>
      <c r="D63">
        <f>$B$51</f>
        <v>68</v>
      </c>
      <c r="E63" s="14">
        <f t="shared" si="1"/>
        <v>38.734177215189874</v>
      </c>
    </row>
    <row r="64" spans="2:5" x14ac:dyDescent="0.25">
      <c r="B64">
        <v>100</v>
      </c>
      <c r="C64">
        <f>B64/100*$B$49</f>
        <v>100</v>
      </c>
      <c r="D64">
        <f>$B$51</f>
        <v>68</v>
      </c>
      <c r="E64" s="14">
        <f t="shared" si="1"/>
        <v>40.476190476190482</v>
      </c>
    </row>
  </sheetData>
  <mergeCells count="15">
    <mergeCell ref="B41:E41"/>
    <mergeCell ref="B42:E42"/>
    <mergeCell ref="B43:E43"/>
    <mergeCell ref="B29:E29"/>
    <mergeCell ref="B30:E30"/>
    <mergeCell ref="B31:E31"/>
    <mergeCell ref="B32:E32"/>
    <mergeCell ref="B33:E33"/>
    <mergeCell ref="B40:E40"/>
    <mergeCell ref="B23:E23"/>
    <mergeCell ref="B24:E24"/>
    <mergeCell ref="B25:E25"/>
    <mergeCell ref="B26:E26"/>
    <mergeCell ref="B27:E27"/>
    <mergeCell ref="B28:E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Kaden.Burgart</dc:creator>
  <cp:lastModifiedBy>Kaden.Burgart</cp:lastModifiedBy>
  <dcterms:created xsi:type="dcterms:W3CDTF">2026-03-05T05:07:18Z</dcterms:created>
  <dcterms:modified xsi:type="dcterms:W3CDTF">2026-03-05T05:56:07Z</dcterms:modified>
</cp:coreProperties>
</file>